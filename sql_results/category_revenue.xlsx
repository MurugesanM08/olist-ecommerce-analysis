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Home PC\Downloads\New folder\03 SQL\"/>
    </mc:Choice>
  </mc:AlternateContent>
  <xr:revisionPtr revIDLastSave="0" documentId="13_ncr:1_{CB6162F5-2C44-4303-93AF-F4A7DA4C2E71}" xr6:coauthVersionLast="47" xr6:coauthVersionMax="47" xr10:uidLastSave="{00000000-0000-0000-0000-000000000000}"/>
  <bookViews>
    <workbookView xWindow="-120" yWindow="-120" windowWidth="20730" windowHeight="11310" xr2:uid="{5EE39163-6953-4A5E-AA99-538C89CE06CC}"/>
  </bookViews>
  <sheets>
    <sheet name="Top 10 Product Categories by Re" sheetId="1" r:id="rId1"/>
  </sheets>
  <calcPr calcId="181029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<sst xmlns="http://schemas.openxmlformats.org/spreadsheetml/2006/main" count="17" uniqueCount="17">
  <si>
    <t>category</t>
  </si>
  <si>
    <t>total_orders</t>
  </si>
  <si>
    <t>total_revenue</t>
  </si>
  <si>
    <t>avg_price</t>
  </si>
  <si>
    <t>total_price</t>
  </si>
  <si>
    <t>total_profit</t>
  </si>
  <si>
    <t>margin_pct</t>
  </si>
  <si>
    <t>Beauty &amp; Health</t>
  </si>
  <si>
    <t>Watches &amp; Gifts</t>
  </si>
  <si>
    <t>Bed, Bath &amp; Table</t>
  </si>
  <si>
    <t>Sports &amp; Leisure</t>
  </si>
  <si>
    <t>Computer Accessories</t>
  </si>
  <si>
    <t>Furniture &amp; Décor</t>
  </si>
  <si>
    <t>Home Utilities</t>
  </si>
  <si>
    <t>Cool Stuff</t>
  </si>
  <si>
    <t>Automotive</t>
  </si>
  <si>
    <t>Garden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</si>
</sst>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1E60F-A3D1-4DFC-9D3A-3291D7016BEE}" name="Table1" displayName="Table1" ref="A1:G11" totalsRowShown="0">
  <autoFilter ref="A1:G11" xr:uid="{6FE1E60F-A3D1-4DFC-9D3A-3291D7016BEE}"/>
  <tableColumns count="7">
    <tableColumn id="1" xr3:uid="{FEC5056C-8966-4C13-984E-368957E45D71}" name="category"/>
    <tableColumn id="2" xr3:uid="{9EC08358-7DEF-4277-823A-E37553113B78}" name="total_orders"/>
    <tableColumn id="3" xr3:uid="{50023BAE-17FF-4688-A286-BCCE6AE09852}" name="total_revenue"/>
    <tableColumn id="4" xr3:uid="{F753739E-40F8-4688-9828-82F72B3215E9}" name="avg_price"/>
    <tableColumn id="5" xr3:uid="{D2D8C8A7-F8AE-4F16-AE12-FA0E6F34E39D}" name="total_price"/>
    <tableColumn id="6" xr3:uid="{1656F0B5-C3F3-41F7-883A-3CA3B0DB8560}" name="total_profit" dataDxfId="1">
      <calculatedColumnFormula>Table1[total_price] * 0.4</calculatedColumnFormula>
    </tableColumn>
    <tableColumn id="7" xr3:uid="{CA1DF020-FB83-46C9-A673-2CE814F34278}" name="margin_pct" dataDxfId="0">
      <calculatedColumnFormula>F2/E2*100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BCE1-AF23-4D5A-80A8-796F378E8DF2}">
  <dimension ref="A1:G11"/>
  <sheetViews>
    <sheetView tabSelected="1" workbookViewId="0">
      <selection activeCell="G5" sqref="G5"/>
    </sheetView>
  </sheetViews>
  <sheetFormatPr defaultRowHeight="15" x14ac:dyDescent="0.25"/>
  <cols>
    <col min="1" max="1" width="21.7109375" bestFit="1" customWidth="1"/>
    <col min="2" max="2" width="14" customWidth="1"/>
    <col min="3" max="3" width="15.7109375" customWidth="1"/>
    <col min="4" max="4" width="11.5703125" customWidth="1"/>
    <col min="5" max="5" width="1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8754</v>
      </c>
      <c r="C2">
        <v>1246266.3</v>
      </c>
      <c r="D2">
        <v>130.05000000000001</v>
      </c>
      <c r="E2">
        <v>498506.52</v>
      </c>
      <c r="F2">
        <f>Table1[total_price] * 0.4</f>
        <v>199402.60800000001</v>
      </c>
      <c r="G2">
        <f t="shared" ref="G2:G11" si="0">F2/E2*100</f>
        <v>40</v>
      </c>
    </row>
    <row r="3" spans="1:7" x14ac:dyDescent="0.25">
      <c r="A3" t="s">
        <v>8</v>
      </c>
      <c r="B3">
        <v>5565</v>
      </c>
      <c r="C3">
        <v>1189045.07</v>
      </c>
      <c r="D3">
        <v>200.51</v>
      </c>
      <c r="E3">
        <v>475618.03</v>
      </c>
      <c r="F3">
        <f>Table1[total_price] * 0.4</f>
        <v>190247.21200000003</v>
      </c>
      <c r="G3">
        <f t="shared" si="0"/>
        <v>40</v>
      </c>
    </row>
    <row r="4" spans="1:7" x14ac:dyDescent="0.25">
      <c r="A4" t="s">
        <v>9</v>
      </c>
      <c r="B4">
        <v>9378</v>
      </c>
      <c r="C4">
        <v>1034168.11</v>
      </c>
      <c r="D4">
        <v>93.4</v>
      </c>
      <c r="E4">
        <v>413667.24</v>
      </c>
      <c r="F4">
        <f>Table1[total_price] * 0.4</f>
        <v>165466.89600000001</v>
      </c>
      <c r="G4">
        <f t="shared" si="0"/>
        <v>40</v>
      </c>
    </row>
    <row r="5" spans="1:7" x14ac:dyDescent="0.25">
      <c r="A5" t="s">
        <v>10</v>
      </c>
      <c r="B5">
        <v>7625</v>
      </c>
      <c r="C5">
        <v>966428.87</v>
      </c>
      <c r="D5">
        <v>113.24</v>
      </c>
      <c r="E5">
        <v>386571.55</v>
      </c>
      <c r="F5">
        <f>Table1[total_price] * 0.4</f>
        <v>154628.62</v>
      </c>
      <c r="G5">
        <f t="shared" si="0"/>
        <v>40</v>
      </c>
    </row>
    <row r="6" spans="1:7" x14ac:dyDescent="0.25">
      <c r="A6" t="s">
        <v>11</v>
      </c>
      <c r="B6">
        <v>6606</v>
      </c>
      <c r="C6">
        <v>896620.51</v>
      </c>
      <c r="D6">
        <v>116.07</v>
      </c>
      <c r="E6">
        <v>358648.2</v>
      </c>
      <c r="F6">
        <f>Table1[total_price] * 0.4</f>
        <v>143459.28</v>
      </c>
      <c r="G6">
        <f t="shared" si="0"/>
        <v>40</v>
      </c>
    </row>
    <row r="7" spans="1:7" x14ac:dyDescent="0.25">
      <c r="A7" t="s">
        <v>12</v>
      </c>
      <c r="B7">
        <v>6384</v>
      </c>
      <c r="C7">
        <v>719085.51</v>
      </c>
      <c r="D7">
        <v>87.21</v>
      </c>
      <c r="E7">
        <v>287634.2</v>
      </c>
      <c r="F7">
        <f>Table1[total_price] * 0.4</f>
        <v>115053.68000000001</v>
      </c>
      <c r="G7">
        <f t="shared" si="0"/>
        <v>40</v>
      </c>
    </row>
    <row r="8" spans="1:7" x14ac:dyDescent="0.25">
      <c r="A8" t="s">
        <v>13</v>
      </c>
      <c r="B8">
        <v>5819</v>
      </c>
      <c r="C8">
        <v>623791.99</v>
      </c>
      <c r="D8">
        <v>90.76</v>
      </c>
      <c r="E8">
        <v>249516.79999999999</v>
      </c>
      <c r="F8">
        <f>Table1[total_price] * 0.4</f>
        <v>99806.720000000001</v>
      </c>
      <c r="G8">
        <f t="shared" si="0"/>
        <v>40</v>
      </c>
    </row>
    <row r="9" spans="1:7" x14ac:dyDescent="0.25">
      <c r="A9" t="s">
        <v>14</v>
      </c>
      <c r="B9">
        <v>3603</v>
      </c>
      <c r="C9">
        <v>618308.15</v>
      </c>
      <c r="D9">
        <v>164.27</v>
      </c>
      <c r="E9">
        <v>247323.26</v>
      </c>
      <c r="F9">
        <f>Table1[total_price] * 0.4</f>
        <v>98929.304000000004</v>
      </c>
      <c r="G9">
        <f t="shared" si="0"/>
        <v>40</v>
      </c>
    </row>
    <row r="10" spans="1:7" x14ac:dyDescent="0.25">
      <c r="A10" t="s">
        <v>15</v>
      </c>
      <c r="B10">
        <v>3853</v>
      </c>
      <c r="C10">
        <v>584151.77</v>
      </c>
      <c r="D10">
        <v>139.65</v>
      </c>
      <c r="E10">
        <v>233660.71</v>
      </c>
      <c r="F10">
        <f>Table1[total_price] * 0.4</f>
        <v>93464.284</v>
      </c>
      <c r="G10">
        <f t="shared" si="0"/>
        <v>40</v>
      </c>
    </row>
    <row r="11" spans="1:7" x14ac:dyDescent="0.25">
      <c r="A11" t="s">
        <v>16</v>
      </c>
      <c r="B11">
        <v>3485</v>
      </c>
      <c r="C11">
        <v>475530.28</v>
      </c>
      <c r="D11">
        <v>110.41</v>
      </c>
      <c r="E11">
        <v>190212.11</v>
      </c>
      <c r="F11">
        <f>Table1[total_price] * 0.4</f>
        <v>76084.843999999997</v>
      </c>
      <c r="G11">
        <f t="shared" si="0"/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Product Categories by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Home PC</dc:creator>
  <cp:lastModifiedBy>Murugesan Muthuvel</cp:lastModifiedBy>
  <dcterms:created xsi:type="dcterms:W3CDTF">2026-06-03T10:32:20Z</dcterms:created>
  <dcterms:modified xsi:type="dcterms:W3CDTF">2026-06-03T12:47:42Z</dcterms:modified>
</cp:coreProperties>
</file>